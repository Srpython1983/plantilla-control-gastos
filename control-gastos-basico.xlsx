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is\Downloads\"/>
    </mc:Choice>
  </mc:AlternateContent>
  <bookViews>
    <workbookView xWindow="0" yWindow="0" windowWidth="20490" windowHeight="7755"/>
  </bookViews>
  <sheets>
    <sheet name="Control de Gas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</calcChain>
</file>

<file path=xl/sharedStrings.xml><?xml version="1.0" encoding="utf-8"?>
<sst xmlns="http://schemas.openxmlformats.org/spreadsheetml/2006/main" count="17" uniqueCount="16">
  <si>
    <t>CONTROL DE GASTOS MENSUAL</t>
  </si>
  <si>
    <t>Empresa:</t>
  </si>
  <si>
    <t>(dejar vacío)</t>
  </si>
  <si>
    <t>Mes:</t>
  </si>
  <si>
    <t>Fecha</t>
  </si>
  <si>
    <t>Categoría</t>
  </si>
  <si>
    <t>Descripción</t>
  </si>
  <si>
    <t>Tipo</t>
  </si>
  <si>
    <t>Monto</t>
  </si>
  <si>
    <t>Estado</t>
  </si>
  <si>
    <t>RESUMEN DEL MES</t>
  </si>
  <si>
    <t>Total gastos pagados:</t>
  </si>
  <si>
    <t>Total gastos pendientes:</t>
  </si>
  <si>
    <t>Total gastos fijos:</t>
  </si>
  <si>
    <t>Total gastos variables: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</si>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</sst>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42" fontId="0" fillId="0" borderId="0" xfId="1" applyFont="1"/>
    <xf numFmtId="42" fontId="2" fillId="3" borderId="0" xfId="1" applyFont="1" applyFill="1"/>
    <xf numFmtId="42" fontId="2" fillId="0" borderId="0" xfId="1" applyFont="1"/>
    <xf numFmtId="42" fontId="2" fillId="2" borderId="0" xfId="1" applyFont="1" applyFill="1"/>
  </cellXfs>
  <cellStyles count="2">
    <cellStyle name="Moneda [0]" xfId="1" builtinId="7"/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25" workbookViewId="0">
      <selection activeCell="F15" sqref="F15"/>
    </sheetView>
  </sheetViews>
  <sheetFormatPr baseColWidth="10" defaultRowHeight="15" x14ac:dyDescent="0.25"/>
  <cols>
    <col min="1" max="1" width="30.5703125" customWidth="1"/>
    <col min="2" max="2" width="15.5703125" customWidth="1"/>
    <col min="5" max="5" width="11.42578125" style="6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t="s">
        <v>1</v>
      </c>
      <c r="B2" s="1" t="s">
        <v>2</v>
      </c>
    </row>
    <row r="3" spans="1:6" x14ac:dyDescent="0.25">
      <c r="A3" t="s">
        <v>3</v>
      </c>
      <c r="B3" s="1" t="s">
        <v>2</v>
      </c>
    </row>
    <row r="5" spans="1:6" s="4" customFormat="1" x14ac:dyDescent="0.25">
      <c r="A5" s="4" t="s">
        <v>4</v>
      </c>
      <c r="B5" s="4" t="s">
        <v>5</v>
      </c>
      <c r="C5" s="4" t="s">
        <v>6</v>
      </c>
      <c r="D5" s="4" t="s">
        <v>7</v>
      </c>
      <c r="E5" s="7" t="s">
        <v>8</v>
      </c>
      <c r="F5" s="4" t="s">
        <v>9</v>
      </c>
    </row>
    <row r="27" spans="1:5" s="3" customFormat="1" x14ac:dyDescent="0.25">
      <c r="A27" s="3" t="s">
        <v>10</v>
      </c>
      <c r="E27" s="8"/>
    </row>
    <row r="28" spans="1:5" x14ac:dyDescent="0.25">
      <c r="A28" t="s">
        <v>11</v>
      </c>
      <c r="B28">
        <f>SUMIF(F6:F25,"Pagado",E6:E25)</f>
        <v>0</v>
      </c>
    </row>
    <row r="29" spans="1:5" x14ac:dyDescent="0.25">
      <c r="A29" t="s">
        <v>12</v>
      </c>
      <c r="B29">
        <f>SUMIF(F6:F25,"Pendiente",E6:E25)</f>
        <v>0</v>
      </c>
    </row>
    <row r="30" spans="1:5" x14ac:dyDescent="0.25">
      <c r="A30" t="s">
        <v>13</v>
      </c>
      <c r="B30">
        <f>SUMIF(D6:D25,"Fijo",E6:E25)</f>
        <v>0</v>
      </c>
    </row>
    <row r="31" spans="1:5" x14ac:dyDescent="0.25">
      <c r="A31" t="s">
        <v>14</v>
      </c>
      <c r="B31">
        <f>SUMIF(D6:D25,"Variable",E6:E25)</f>
        <v>0</v>
      </c>
    </row>
    <row r="32" spans="1:5" s="5" customFormat="1" x14ac:dyDescent="0.25">
      <c r="A32" s="5" t="s">
        <v>15</v>
      </c>
      <c r="B32" s="5">
        <f>SUM(E6:E25)</f>
        <v>0</v>
      </c>
      <c r="E32" s="9"/>
    </row>
  </sheetData>
  <mergeCells count="1">
    <mergeCell ref="A1:F1"/>
  </mergeCells>
  <conditionalFormatting sqref="F6:F25">
    <cfRule type="containsText" dxfId="3" priority="5" operator="containsText" text="Pagado">
      <formula>NOT(ISERROR(SEARCH("Pagado",F6)))</formula>
    </cfRule>
    <cfRule type="containsText" priority="4" operator="containsText" text="Pendiente">
      <formula>NOT(ISERROR(SEARCH("Pendiente",F6)))</formula>
    </cfRule>
    <cfRule type="containsText" dxfId="4" priority="3" operator="containsText" text="Pendiente">
      <formula>NOT(ISERROR(SEARCH("Pendiente",F6)))</formula>
    </cfRule>
    <cfRule type="containsText" priority="2" operator="containsText" text="Anulado">
      <formula>NOT(ISERROR(SEARCH("Anulado",F6)))</formula>
    </cfRule>
    <cfRule type="containsText" dxfId="2" priority="1" operator="containsText" text="Anulado">
      <formula>NOT(ISERROR(SEARCH("Anulado",F6)))</formula>
    </cfRule>
  </conditionalFormatting>
  <dataValidations count="3">
    <dataValidation type="list" allowBlank="1" showInputMessage="1" showErrorMessage="1" sqref="B6:B25">
      <formula1>"Arriendo,Sueldos,Materiales,Servicios básicos,Marketing,Otros"</formula1>
    </dataValidation>
    <dataValidation type="list" allowBlank="1" showInputMessage="1" showErrorMessage="1" sqref="D6:D25">
      <formula1>"Fijo,Variable"</formula1>
    </dataValidation>
    <dataValidation type="list" allowBlank="1" showInputMessage="1" showErrorMessage="1" sqref="F6:F25">
      <formula1>"Pagado,Pendiente,Anulado"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Gastos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Onel</dc:creator>
  <cp:lastModifiedBy>Javier Onel</cp:lastModifiedBy>
  <dcterms:created xsi:type="dcterms:W3CDTF">2026-05-16T21:25:21Z</dcterms:created>
  <dcterms:modified xsi:type="dcterms:W3CDTF">2026-05-16T21:41:38Z</dcterms:modified>
</cp:coreProperties>
</file>